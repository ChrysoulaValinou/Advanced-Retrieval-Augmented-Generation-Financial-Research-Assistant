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 Price History" sheetId="1" state="visible" r:id="rId3"/>
    <sheet name="Financial Model" sheetId="2" state="visible" r:id="rId4"/>
    <sheet name="Competitor Analysis" sheetId="3" state="visible" r:id="rId5"/>
    <sheet name="Quarterly Revenue" sheetId="4" state="visible" r:id="rId6"/>
    <sheet name="DCF Valu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<sst xmlns="http://schemas.openxmlformats.org/spreadsheetml/2006/main" count="164" uniqueCount="154">
  <si>
    <t xml:space="preserve">TechVision Corp (TVC) — Daily Stock Price Data FY2024</t>
  </si>
  <si>
    <t xml:space="preserve">Source: NASDAQ Market Data | Fiscal Year: January 2, 2024 – December 31, 2024</t>
  </si>
  <si>
    <t xml:space="preserve">Date</t>
  </si>
  <si>
    <t xml:space="preserve">Open ($)</t>
  </si>
  <si>
    <t xml:space="preserve">High ($)</t>
  </si>
  <si>
    <t xml:space="preserve">Low ($)</t>
  </si>
  <si>
    <t xml:space="preserve">Close ($)</t>
  </si>
  <si>
    <t xml:space="preserve">Volume</t>
  </si>
  <si>
    <t xml:space="preserve">Adj Close ($)</t>
  </si>
  <si>
    <t xml:space="preserve">Daily Return (%)</t>
  </si>
  <si>
    <t xml:space="preserve">Cumul. Return (%)</t>
  </si>
  <si>
    <t xml:space="preserve">2024-01-02</t>
  </si>
  <si>
    <t xml:space="preserve">2024-01-31</t>
  </si>
  <si>
    <t xml:space="preserve">2024-02-29</t>
  </si>
  <si>
    <t xml:space="preserve">2024-03-28</t>
  </si>
  <si>
    <t xml:space="preserve">2024-04-30</t>
  </si>
  <si>
    <t xml:space="preserve">2024-05-31</t>
  </si>
  <si>
    <t xml:space="preserve">2024-06-28</t>
  </si>
  <si>
    <t xml:space="preserve">2024-07-31</t>
  </si>
  <si>
    <t xml:space="preserve">2024-08-30</t>
  </si>
  <si>
    <t xml:space="preserve">2024-09-30</t>
  </si>
  <si>
    <t xml:space="preserve">2024-10-31</t>
  </si>
  <si>
    <t xml:space="preserve">2024-11-29</t>
  </si>
  <si>
    <t xml:space="preserve">2024-12-31</t>
  </si>
  <si>
    <t xml:space="preserve">Summary Statistics</t>
  </si>
  <si>
    <t xml:space="preserve">52-Week High</t>
  </si>
  <si>
    <t xml:space="preserve">52-Week Low</t>
  </si>
  <si>
    <t xml:space="preserve">Average Volume</t>
  </si>
  <si>
    <t xml:space="preserve">FY2024 Total Return (%)</t>
  </si>
  <si>
    <t xml:space="preserve">TechVision Corp — 5-Year Financial Model (FY2022-FY2026E)</t>
  </si>
  <si>
    <t xml:space="preserve">All figures in USD millions | Blue text = actuals | Black text = estimates</t>
  </si>
  <si>
    <t xml:space="preserve">Metric</t>
  </si>
  <si>
    <t xml:space="preserve">FY2022A</t>
  </si>
  <si>
    <t xml:space="preserve">FY2023A</t>
  </si>
  <si>
    <t xml:space="preserve">FY2024A</t>
  </si>
  <si>
    <t xml:space="preserve">FY2025E</t>
  </si>
  <si>
    <t xml:space="preserve">FY2026E</t>
  </si>
  <si>
    <t xml:space="preserve">── INCOME STATEMENT ──</t>
  </si>
  <si>
    <t xml:space="preserve">Total Revenue</t>
  </si>
  <si>
    <t xml:space="preserve">  Cloud Infrastructure</t>
  </si>
  <si>
    <t xml:space="preserve">  AI &amp; Analytics Plat.</t>
  </si>
  <si>
    <t xml:space="preserve">  Software Licensing</t>
  </si>
  <si>
    <t xml:space="preserve">  Professional Services</t>
  </si>
  <si>
    <t xml:space="preserve">Cost of Revenue</t>
  </si>
  <si>
    <t xml:space="preserve">Gross Profit</t>
  </si>
  <si>
    <t xml:space="preserve">Gross Margin %</t>
  </si>
  <si>
    <t xml:space="preserve">R&amp;D Expenses</t>
  </si>
  <si>
    <t xml:space="preserve">Sales &amp; Marketing</t>
  </si>
  <si>
    <t xml:space="preserve">G&amp;A Expenses</t>
  </si>
  <si>
    <t xml:space="preserve">Total OpEx</t>
  </si>
  <si>
    <t xml:space="preserve">Non-GAAP Op. Income</t>
  </si>
  <si>
    <t xml:space="preserve">Operating Margin %</t>
  </si>
  <si>
    <t xml:space="preserve">Interest &amp; Other Income</t>
  </si>
  <si>
    <t xml:space="preserve">Pre-Tax Income</t>
  </si>
  <si>
    <t xml:space="preserve">Income Tax (18% rate)</t>
  </si>
  <si>
    <t xml:space="preserve">Non-GAAP Net Income</t>
  </si>
  <si>
    <t xml:space="preserve">Diluted Shares (M)</t>
  </si>
  <si>
    <t xml:space="preserve">Non-GAAP EPS (Diluted)</t>
  </si>
  <si>
    <t xml:space="preserve">── CASH FLOW ──</t>
  </si>
  <si>
    <t xml:space="preserve">Free Cash Flow</t>
  </si>
  <si>
    <t xml:space="preserve">Capital Expenditures</t>
  </si>
  <si>
    <t xml:space="preserve">FCF Margin %</t>
  </si>
  <si>
    <t xml:space="preserve">── KEY METRICS ──</t>
  </si>
  <si>
    <t xml:space="preserve">Revenue YoY Growth %</t>
  </si>
  <si>
    <t xml:space="preserve">Net Income Margin %</t>
  </si>
  <si>
    <t xml:space="preserve">FCF Conversion %</t>
  </si>
  <si>
    <t xml:space="preserve">R&amp;D % of Revenue</t>
  </si>
  <si>
    <t xml:space="preserve">Cloud &amp; AI Platform Competitive Landscape — FY2024 Benchmarking</t>
  </si>
  <si>
    <t xml:space="preserve">Source: Public filings, company reports, analyst estimates | As of Q4 FY2024</t>
  </si>
  <si>
    <t xml:space="preserve">Company</t>
  </si>
  <si>
    <t xml:space="preserve">Ticker</t>
  </si>
  <si>
    <t xml:space="preserve">Market Cap ($B)</t>
  </si>
  <si>
    <t xml:space="preserve">Revenue ($B)</t>
  </si>
  <si>
    <t xml:space="preserve">Rev Growth (%)</t>
  </si>
  <si>
    <t xml:space="preserve">Gross Margin (%)</t>
  </si>
  <si>
    <t xml:space="preserve">Op Margin (%)</t>
  </si>
  <si>
    <t xml:space="preserve">EV/Revenue (x)</t>
  </si>
  <si>
    <t xml:space="preserve">EV/EBITDA (x)</t>
  </si>
  <si>
    <t xml:space="preserve">P/E (NTM)</t>
  </si>
  <si>
    <t xml:space="preserve">FCF Yield (%)</t>
  </si>
  <si>
    <t xml:space="preserve">Cloud Revenue ($B)</t>
  </si>
  <si>
    <t xml:space="preserve">AI Revenue ($B)</t>
  </si>
  <si>
    <t xml:space="preserve">Rating</t>
  </si>
  <si>
    <t xml:space="preserve">TechVision Corp</t>
  </si>
  <si>
    <t xml:space="preserve">TVC</t>
  </si>
  <si>
    <t xml:space="preserve">BUY</t>
  </si>
  <si>
    <t xml:space="preserve">Amazon Web Services</t>
  </si>
  <si>
    <t xml:space="preserve">AMZN</t>
  </si>
  <si>
    <t xml:space="preserve">Microsoft Azure</t>
  </si>
  <si>
    <t xml:space="preserve">MSFT</t>
  </si>
  <si>
    <t xml:space="preserve">Google Cloud</t>
  </si>
  <si>
    <t xml:space="preserve">GOOGL</t>
  </si>
  <si>
    <t xml:space="preserve">CloudScale Systems</t>
  </si>
  <si>
    <t xml:space="preserve">CSS</t>
  </si>
  <si>
    <t xml:space="preserve">HOLD</t>
  </si>
  <si>
    <t xml:space="preserve">DataNexus Inc</t>
  </si>
  <si>
    <t xml:space="preserve">DNX</t>
  </si>
  <si>
    <t xml:space="preserve">InfraCore Ltd</t>
  </si>
  <si>
    <t xml:space="preserve">ICL</t>
  </si>
  <si>
    <t xml:space="preserve">SELL</t>
  </si>
  <si>
    <t xml:space="preserve">SynthAI Corp</t>
  </si>
  <si>
    <t xml:space="preserve">SAI</t>
  </si>
  <si>
    <t xml:space="preserve">NovaSoft Group</t>
  </si>
  <si>
    <t xml:space="preserve">NSG</t>
  </si>
  <si>
    <t xml:space="preserve">TechVision Corp — Quarterly Revenue by Segment (USD Millions)</t>
  </si>
  <si>
    <t xml:space="preserve">Segment</t>
  </si>
  <si>
    <t xml:space="preserve">Q1 FY2023</t>
  </si>
  <si>
    <t xml:space="preserve">Q2 FY2023</t>
  </si>
  <si>
    <t xml:space="preserve">Q3 FY2023</t>
  </si>
  <si>
    <t xml:space="preserve">Q4 FY2023</t>
  </si>
  <si>
    <t xml:space="preserve">FY2023 Total</t>
  </si>
  <si>
    <t xml:space="preserve">Q1 FY2024</t>
  </si>
  <si>
    <t xml:space="preserve">Q2 FY2024</t>
  </si>
  <si>
    <t xml:space="preserve">Q3 FY2024</t>
  </si>
  <si>
    <t xml:space="preserve">Q4 FY2024</t>
  </si>
  <si>
    <t xml:space="preserve">FY2024 Total</t>
  </si>
  <si>
    <t xml:space="preserve">YoY Growth</t>
  </si>
  <si>
    <t xml:space="preserve">Cloud Infrastructure</t>
  </si>
  <si>
    <t xml:space="preserve">AI &amp; Analytics Platform</t>
  </si>
  <si>
    <t xml:space="preserve">Software Licensing &amp; Maint.</t>
  </si>
  <si>
    <t xml:space="preserve">Professional Services</t>
  </si>
  <si>
    <t xml:space="preserve">TechVision Corp — Discounted Cash Flow Valuation</t>
  </si>
  <si>
    <t xml:space="preserve">Analyst: Meridian Capital Research | Date: February 2025 | Base Case Scenario</t>
  </si>
  <si>
    <t xml:space="preserve">KEY ASSUMPTIONS</t>
  </si>
  <si>
    <t xml:space="preserve">WACC (%)</t>
  </si>
  <si>
    <t xml:space="preserve">Terminal Growth Rate (%)</t>
  </si>
  <si>
    <t xml:space="preserve">Revenue Growth FY2025E (%)</t>
  </si>
  <si>
    <t xml:space="preserve">Revenue Growth FY2026E (%)</t>
  </si>
  <si>
    <t xml:space="preserve">Revenue Growth FY2027E (%)</t>
  </si>
  <si>
    <t xml:space="preserve">Revenue Growth FY2028E (%)</t>
  </si>
  <si>
    <t xml:space="preserve">Revenue Growth FY2029E (%)</t>
  </si>
  <si>
    <t xml:space="preserve">Terminal Year FCF Margin (%)</t>
  </si>
  <si>
    <t xml:space="preserve">Shares Outstanding (M)</t>
  </si>
  <si>
    <t xml:space="preserve">Net Cash ($M)</t>
  </si>
  <si>
    <t xml:space="preserve">FREE CASH FLOW PROJECTIONS</t>
  </si>
  <si>
    <t xml:space="preserve">Year</t>
  </si>
  <si>
    <t xml:space="preserve">Revenue ($M)</t>
  </si>
  <si>
    <t xml:space="preserve">FCF Margin (%)</t>
  </si>
  <si>
    <t xml:space="preserve">FCF ($M)</t>
  </si>
  <si>
    <t xml:space="preserve">Discount Factor</t>
  </si>
  <si>
    <t xml:space="preserve">PV of FCF ($M)</t>
  </si>
  <si>
    <t xml:space="preserve">FY2027E</t>
  </si>
  <si>
    <t xml:space="preserve">FY2028E</t>
  </si>
  <si>
    <t xml:space="preserve">FY2029E</t>
  </si>
  <si>
    <t xml:space="preserve">VALUATION SUMMARY</t>
  </si>
  <si>
    <t xml:space="preserve">PV of FCF (FY2025-FY2029)</t>
  </si>
  <si>
    <t xml:space="preserve">Terminal FCF</t>
  </si>
  <si>
    <t xml:space="preserve">PV of Terminal Value</t>
  </si>
  <si>
    <t xml:space="preserve">Enterprise Value</t>
  </si>
  <si>
    <t xml:space="preserve">Plus: Net Cash</t>
  </si>
  <si>
    <t xml:space="preserve">Equity Value</t>
  </si>
  <si>
    <t xml:space="preserve">Intrinsic Value per Share ($)</t>
  </si>
  <si>
    <t xml:space="preserve">Current Price ($)</t>
  </si>
  <si>
    <t xml:space="preserve">Upside / Downside (%)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</si>
</sst>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$#,##0.00"/>
    <numFmt numFmtId="168" formatCode="\$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70C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70C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E2EFDA"/>
      </patternFill>
    </fill>
    <fill>
      <patternFill patternType="solid">
        <fgColor rgb="FF375623"/>
        <bgColor rgb="FF59595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EBF3FB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1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true" outlineLevel="0" collapsed="false">
      <c r="A5" s="5" t="s">
        <v>11</v>
      </c>
      <c r="B5" s="5" t="n">
        <v>72.3</v>
      </c>
      <c r="C5" s="5" t="n">
        <v>74.1</v>
      </c>
      <c r="D5" s="5" t="n">
        <v>71.8</v>
      </c>
      <c r="E5" s="5" t="n">
        <v>73.55</v>
      </c>
      <c r="F5" s="5" t="n">
        <v>2340100</v>
      </c>
      <c r="G5" s="5" t="n">
        <v>73.55</v>
      </c>
      <c r="H5" s="5" t="n">
        <v>0</v>
      </c>
      <c r="I5" s="5" t="n">
        <v>0</v>
      </c>
    </row>
    <row r="6" customFormat="false" ht="15" hidden="false" customHeight="true" outlineLevel="0" collapsed="false">
      <c r="A6" s="6" t="s">
        <v>12</v>
      </c>
      <c r="B6" s="6" t="n">
        <v>74.2</v>
      </c>
      <c r="C6" s="6" t="n">
        <v>76.8</v>
      </c>
      <c r="D6" s="6" t="n">
        <v>73.5</v>
      </c>
      <c r="E6" s="6" t="n">
        <v>75.9</v>
      </c>
      <c r="F6" s="6" t="n">
        <v>3120400</v>
      </c>
      <c r="G6" s="6" t="n">
        <v>75.9</v>
      </c>
      <c r="H6" s="6" t="n">
        <f aca="false">(E6-E5)/E5*100</f>
        <v>3.19510537049627</v>
      </c>
      <c r="I6" s="6" t="n">
        <f aca="false">(E6-E5)/E5*100</f>
        <v>3.19510537049627</v>
      </c>
    </row>
    <row r="7" customFormat="false" ht="15" hidden="false" customHeight="true" outlineLevel="0" collapsed="false">
      <c r="A7" s="5" t="s">
        <v>13</v>
      </c>
      <c r="B7" s="5" t="n">
        <v>76.1</v>
      </c>
      <c r="C7" s="5" t="n">
        <v>79.4</v>
      </c>
      <c r="D7" s="5" t="n">
        <v>75.2</v>
      </c>
      <c r="E7" s="5" t="n">
        <v>78.65</v>
      </c>
      <c r="F7" s="5" t="n">
        <v>2890700</v>
      </c>
      <c r="G7" s="5" t="n">
        <v>78.65</v>
      </c>
      <c r="H7" s="5" t="n">
        <f aca="false">(E7-E6)/E6*100</f>
        <v>3.6231884057971</v>
      </c>
      <c r="I7" s="5" t="n">
        <f aca="false">(E7-E5)/E5*100</f>
        <v>6.9340584636302</v>
      </c>
    </row>
    <row r="8" customFormat="false" ht="15" hidden="false" customHeight="true" outlineLevel="0" collapsed="false">
      <c r="A8" s="6" t="s">
        <v>14</v>
      </c>
      <c r="B8" s="6" t="n">
        <v>79</v>
      </c>
      <c r="C8" s="6" t="n">
        <v>82.3</v>
      </c>
      <c r="D8" s="6" t="n">
        <v>78.4</v>
      </c>
      <c r="E8" s="6" t="n">
        <v>81.2</v>
      </c>
      <c r="F8" s="6" t="n">
        <v>3450200</v>
      </c>
      <c r="G8" s="6" t="n">
        <v>81.2</v>
      </c>
      <c r="H8" s="6" t="n">
        <f aca="false">(E8-E7)/E7*100</f>
        <v>3.24221233312142</v>
      </c>
      <c r="I8" s="6" t="n">
        <f aca="false">(E8-E5)/E5*100</f>
        <v>10.4010876954453</v>
      </c>
    </row>
    <row r="9" customFormat="false" ht="15" hidden="false" customHeight="true" outlineLevel="0" collapsed="false">
      <c r="A9" s="5" t="s">
        <v>15</v>
      </c>
      <c r="B9" s="5" t="n">
        <v>80.5</v>
      </c>
      <c r="C9" s="5" t="n">
        <v>83.7</v>
      </c>
      <c r="D9" s="5" t="n">
        <v>79.1</v>
      </c>
      <c r="E9" s="5" t="n">
        <v>82.05</v>
      </c>
      <c r="F9" s="5" t="n">
        <v>2670900</v>
      </c>
      <c r="G9" s="5" t="n">
        <v>82.05</v>
      </c>
      <c r="H9" s="5" t="n">
        <f aca="false">(E9-E8)/E8*100</f>
        <v>1.04679802955664</v>
      </c>
      <c r="I9" s="5" t="n">
        <f aca="false">(E9-E5)/E5*100</f>
        <v>11.5567641060503</v>
      </c>
    </row>
    <row r="10" customFormat="false" ht="15" hidden="false" customHeight="true" outlineLevel="0" collapsed="false">
      <c r="A10" s="6" t="s">
        <v>16</v>
      </c>
      <c r="B10" s="6" t="n">
        <v>82.3</v>
      </c>
      <c r="C10" s="6" t="n">
        <v>87.5</v>
      </c>
      <c r="D10" s="6" t="n">
        <v>81.9</v>
      </c>
      <c r="E10" s="6" t="n">
        <v>86.4</v>
      </c>
      <c r="F10" s="6" t="n">
        <v>4120300</v>
      </c>
      <c r="G10" s="6" t="n">
        <v>86.4</v>
      </c>
      <c r="H10" s="6" t="n">
        <f aca="false">(E10-E9)/E9*100</f>
        <v>5.30164533820842</v>
      </c>
      <c r="I10" s="6" t="n">
        <f aca="false">(E10-E5)/E5*100</f>
        <v>17.4711080897349</v>
      </c>
    </row>
    <row r="11" customFormat="false" ht="15" hidden="false" customHeight="true" outlineLevel="0" collapsed="false">
      <c r="A11" s="5" t="s">
        <v>17</v>
      </c>
      <c r="B11" s="5" t="n">
        <v>86.7</v>
      </c>
      <c r="C11" s="5" t="n">
        <v>91.2</v>
      </c>
      <c r="D11" s="5" t="n">
        <v>85.3</v>
      </c>
      <c r="E11" s="5" t="n">
        <v>90.15</v>
      </c>
      <c r="F11" s="5" t="n">
        <v>3890600</v>
      </c>
      <c r="G11" s="5" t="n">
        <v>90.15</v>
      </c>
      <c r="H11" s="5" t="n">
        <f aca="false">(E11-E10)/E10*100</f>
        <v>4.34027777777778</v>
      </c>
      <c r="I11" s="5" t="n">
        <f aca="false">(E11-E5)/E5*100</f>
        <v>22.569680489463</v>
      </c>
    </row>
    <row r="12" customFormat="false" ht="15" hidden="false" customHeight="true" outlineLevel="0" collapsed="false">
      <c r="A12" s="6" t="s">
        <v>18</v>
      </c>
      <c r="B12" s="6" t="n">
        <v>90.4</v>
      </c>
      <c r="C12" s="6" t="n">
        <v>94.8</v>
      </c>
      <c r="D12" s="6" t="n">
        <v>89.2</v>
      </c>
      <c r="E12" s="6" t="n">
        <v>92.3</v>
      </c>
      <c r="F12" s="6" t="n">
        <v>3560100</v>
      </c>
      <c r="G12" s="6" t="n">
        <v>92.3</v>
      </c>
      <c r="H12" s="6" t="n">
        <f aca="false">(E12-E11)/E11*100</f>
        <v>2.3849140321686</v>
      </c>
      <c r="I12" s="6" t="n">
        <f aca="false">(E12-E5)/E5*100</f>
        <v>25.4928619986404</v>
      </c>
    </row>
    <row r="13" customFormat="false" ht="15" hidden="false" customHeight="true" outlineLevel="0" collapsed="false">
      <c r="A13" s="5" t="s">
        <v>19</v>
      </c>
      <c r="B13" s="5" t="n">
        <v>91.8</v>
      </c>
      <c r="C13" s="5" t="n">
        <v>96.4</v>
      </c>
      <c r="D13" s="5" t="n">
        <v>90.5</v>
      </c>
      <c r="E13" s="5" t="n">
        <v>94.75</v>
      </c>
      <c r="F13" s="5" t="n">
        <v>4230500</v>
      </c>
      <c r="G13" s="5" t="n">
        <v>94.75</v>
      </c>
      <c r="H13" s="5" t="n">
        <f aca="false">(E13-E12)/E12*100</f>
        <v>2.65438786565547</v>
      </c>
      <c r="I13" s="5" t="n">
        <f aca="false">(E13-E5)/E5*100</f>
        <v>28.8239292997961</v>
      </c>
    </row>
    <row r="14" customFormat="false" ht="15" hidden="false" customHeight="true" outlineLevel="0" collapsed="false">
      <c r="A14" s="6" t="s">
        <v>20</v>
      </c>
      <c r="B14" s="6" t="n">
        <v>94.2</v>
      </c>
      <c r="C14" s="6" t="n">
        <v>97.8</v>
      </c>
      <c r="D14" s="6" t="n">
        <v>92.1</v>
      </c>
      <c r="E14" s="6" t="n">
        <v>95.6</v>
      </c>
      <c r="F14" s="6" t="n">
        <v>3780200</v>
      </c>
      <c r="G14" s="6" t="n">
        <v>95.6</v>
      </c>
      <c r="H14" s="6" t="n">
        <f aca="false">(E14-E13)/E13*100</f>
        <v>0.897097625329809</v>
      </c>
      <c r="I14" s="6" t="n">
        <f aca="false">(E14-E5)/E5*100</f>
        <v>29.9796057104011</v>
      </c>
    </row>
    <row r="15" customFormat="false" ht="15" hidden="false" customHeight="true" outlineLevel="0" collapsed="false">
      <c r="A15" s="5" t="s">
        <v>21</v>
      </c>
      <c r="B15" s="5" t="n">
        <v>95.9</v>
      </c>
      <c r="C15" s="5" t="n">
        <v>99.4</v>
      </c>
      <c r="D15" s="5" t="n">
        <v>93.8</v>
      </c>
      <c r="E15" s="5" t="n">
        <v>97.85</v>
      </c>
      <c r="F15" s="5" t="n">
        <v>4560700</v>
      </c>
      <c r="G15" s="5" t="n">
        <v>97.85</v>
      </c>
      <c r="H15" s="5" t="n">
        <f aca="false">(E15-E14)/E14*100</f>
        <v>2.35355648535565</v>
      </c>
      <c r="I15" s="5" t="n">
        <f aca="false">(E15-E5)/E5*100</f>
        <v>33.0387491502379</v>
      </c>
    </row>
    <row r="16" customFormat="false" ht="15" hidden="false" customHeight="true" outlineLevel="0" collapsed="false">
      <c r="A16" s="6" t="s">
        <v>22</v>
      </c>
      <c r="B16" s="6" t="n">
        <v>98.1</v>
      </c>
      <c r="C16" s="6" t="n">
        <v>101.2</v>
      </c>
      <c r="D16" s="6" t="n">
        <v>96.4</v>
      </c>
      <c r="E16" s="6" t="n">
        <v>99.3</v>
      </c>
      <c r="F16" s="6" t="n">
        <v>5120400</v>
      </c>
      <c r="G16" s="6" t="n">
        <v>99.3</v>
      </c>
      <c r="H16" s="6" t="n">
        <f aca="false">(E16-E15)/E15*100</f>
        <v>1.48185998978028</v>
      </c>
      <c r="I16" s="6" t="n">
        <f aca="false">(E16-E5)/E5*100</f>
        <v>35.0101971447995</v>
      </c>
    </row>
    <row r="17" customFormat="false" ht="15" hidden="false" customHeight="true" outlineLevel="0" collapsed="false">
      <c r="A17" s="5" t="s">
        <v>23</v>
      </c>
      <c r="B17" s="5" t="n">
        <v>99.6</v>
      </c>
      <c r="C17" s="5" t="n">
        <v>103.5</v>
      </c>
      <c r="D17" s="5" t="n">
        <v>98.2</v>
      </c>
      <c r="E17" s="5" t="n">
        <v>101.8</v>
      </c>
      <c r="F17" s="5" t="n">
        <v>4890300</v>
      </c>
      <c r="G17" s="5" t="n">
        <v>101.8</v>
      </c>
      <c r="H17" s="5" t="n">
        <f aca="false">(E17-E16)/E16*100</f>
        <v>2.51762336354481</v>
      </c>
      <c r="I17" s="5" t="n">
        <f aca="false">(E17-E5)/E5*100</f>
        <v>38.4092454112848</v>
      </c>
    </row>
    <row r="19" customFormat="false" ht="15" hidden="false" customHeight="true" outlineLevel="0" collapsed="false">
      <c r="A19" s="7" t="s">
        <v>24</v>
      </c>
    </row>
    <row r="20" customFormat="false" ht="15" hidden="false" customHeight="true" outlineLevel="0" collapsed="false">
      <c r="A20" s="1" t="s">
        <v>25</v>
      </c>
      <c r="E20" s="1" t="n">
        <f aca="false">MAX(E5:E17)</f>
        <v>101.8</v>
      </c>
    </row>
    <row r="21" customFormat="false" ht="15" hidden="false" customHeight="true" outlineLevel="0" collapsed="false">
      <c r="A21" s="1" t="s">
        <v>26</v>
      </c>
      <c r="E21" s="1" t="n">
        <f aca="false">MIN(E5:E17)</f>
        <v>73.55</v>
      </c>
    </row>
    <row r="22" customFormat="false" ht="15" hidden="false" customHeight="true" outlineLevel="0" collapsed="false">
      <c r="A22" s="1" t="s">
        <v>27</v>
      </c>
      <c r="F22" s="1" t="n">
        <f aca="false">AVERAGE(F5:F17)</f>
        <v>3740415.38461538</v>
      </c>
    </row>
    <row r="23" customFormat="false" ht="15" hidden="false" customHeight="true" outlineLevel="0" collapsed="false">
      <c r="A23" s="1" t="s">
        <v>28</v>
      </c>
      <c r="I23" s="1" t="n">
        <f aca="false">((E17-E5)/E5)*100</f>
        <v>38.4092454112848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26"/>
  </cols>
  <sheetData>
    <row r="1" customFormat="false" ht="17.25" hidden="false" customHeight="true" outlineLevel="0" collapsed="false">
      <c r="A1" s="8" t="s">
        <v>29</v>
      </c>
    </row>
    <row r="2" customFormat="false" ht="15" hidden="false" customHeight="true" outlineLevel="0" collapsed="false">
      <c r="A2" s="9" t="s">
        <v>30</v>
      </c>
    </row>
    <row r="4" customFormat="false" ht="15" hidden="false" customHeight="true" outlineLevel="0" collapsed="false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</row>
    <row r="5" customFormat="false" ht="15" hidden="false" customHeight="true" outlineLevel="0" collapsed="false">
      <c r="A5" s="10" t="s">
        <v>37</v>
      </c>
      <c r="B5" s="11"/>
      <c r="C5" s="11"/>
      <c r="D5" s="11"/>
      <c r="E5" s="12"/>
      <c r="F5" s="12"/>
    </row>
    <row r="6" customFormat="false" ht="15" hidden="false" customHeight="true" outlineLevel="0" collapsed="false">
      <c r="A6" s="13" t="s">
        <v>38</v>
      </c>
      <c r="B6" s="14" t="n">
        <v>2740</v>
      </c>
      <c r="C6" s="14" t="n">
        <v>3980</v>
      </c>
      <c r="D6" s="14" t="n">
        <v>4870</v>
      </c>
      <c r="E6" s="15" t="n">
        <v>5892</v>
      </c>
      <c r="F6" s="15" t="n">
        <v>6952</v>
      </c>
    </row>
    <row r="7" customFormat="false" ht="15" hidden="false" customHeight="true" outlineLevel="0" collapsed="false">
      <c r="A7" s="13" t="s">
        <v>39</v>
      </c>
      <c r="B7" s="16" t="n">
        <v>1420</v>
      </c>
      <c r="C7" s="16" t="n">
        <v>1770</v>
      </c>
      <c r="D7" s="16" t="n">
        <v>2290</v>
      </c>
      <c r="E7" s="17" t="n">
        <v>2863</v>
      </c>
      <c r="F7" s="17" t="n">
        <v>3435</v>
      </c>
    </row>
    <row r="8" customFormat="false" ht="15" hidden="false" customHeight="true" outlineLevel="0" collapsed="false">
      <c r="A8" s="13" t="s">
        <v>40</v>
      </c>
      <c r="B8" s="14" t="n">
        <v>680</v>
      </c>
      <c r="C8" s="14" t="n">
        <v>1090</v>
      </c>
      <c r="D8" s="14" t="n">
        <v>1510</v>
      </c>
      <c r="E8" s="15" t="n">
        <v>2039</v>
      </c>
      <c r="F8" s="15" t="n">
        <v>2650</v>
      </c>
    </row>
    <row r="9" customFormat="false" ht="15" hidden="false" customHeight="true" outlineLevel="0" collapsed="false">
      <c r="A9" s="13" t="s">
        <v>41</v>
      </c>
      <c r="B9" s="16" t="n">
        <v>430</v>
      </c>
      <c r="C9" s="16" t="n">
        <v>705</v>
      </c>
      <c r="D9" s="16" t="n">
        <v>682</v>
      </c>
      <c r="E9" s="17" t="n">
        <v>648</v>
      </c>
      <c r="F9" s="17" t="n">
        <v>596</v>
      </c>
    </row>
    <row r="10" customFormat="false" ht="15" hidden="false" customHeight="true" outlineLevel="0" collapsed="false">
      <c r="A10" s="13" t="s">
        <v>42</v>
      </c>
      <c r="B10" s="14" t="n">
        <v>210</v>
      </c>
      <c r="C10" s="14" t="n">
        <v>415</v>
      </c>
      <c r="D10" s="14" t="n">
        <v>388</v>
      </c>
      <c r="E10" s="15" t="n">
        <v>434</v>
      </c>
      <c r="F10" s="15" t="n">
        <v>477</v>
      </c>
    </row>
    <row r="11" customFormat="false" ht="15" hidden="false" customHeight="true" outlineLevel="0" collapsed="false">
      <c r="A11" s="13" t="s">
        <v>43</v>
      </c>
      <c r="B11" s="16" t="n">
        <v>1280</v>
      </c>
      <c r="C11" s="16" t="n">
        <v>1750</v>
      </c>
      <c r="D11" s="16" t="n">
        <v>1940</v>
      </c>
      <c r="E11" s="17" t="n">
        <v>2240</v>
      </c>
      <c r="F11" s="17" t="n">
        <v>2572</v>
      </c>
    </row>
    <row r="12" customFormat="false" ht="15" hidden="false" customHeight="true" outlineLevel="0" collapsed="false">
      <c r="A12" s="13" t="s">
        <v>44</v>
      </c>
      <c r="B12" s="14" t="n">
        <v>1460</v>
      </c>
      <c r="C12" s="14" t="n">
        <v>2230</v>
      </c>
      <c r="D12" s="14" t="n">
        <v>2930</v>
      </c>
      <c r="E12" s="15" t="n">
        <v>3652</v>
      </c>
      <c r="F12" s="15" t="n">
        <v>4380</v>
      </c>
    </row>
    <row r="13" customFormat="false" ht="15" hidden="false" customHeight="true" outlineLevel="0" collapsed="false">
      <c r="A13" s="13" t="s">
        <v>45</v>
      </c>
      <c r="B13" s="18" t="n">
        <v>0.533</v>
      </c>
      <c r="C13" s="18" t="n">
        <v>0.56</v>
      </c>
      <c r="D13" s="18" t="n">
        <v>0.602</v>
      </c>
      <c r="E13" s="19" t="n">
        <v>0.62</v>
      </c>
      <c r="F13" s="19" t="n">
        <v>0.63</v>
      </c>
    </row>
    <row r="14" customFormat="false" ht="15" hidden="false" customHeight="true" outlineLevel="0" collapsed="false">
      <c r="A14" s="13"/>
      <c r="B14" s="20"/>
      <c r="C14" s="20"/>
      <c r="D14" s="20"/>
      <c r="E14" s="21"/>
      <c r="F14" s="21"/>
    </row>
    <row r="15" customFormat="false" ht="15" hidden="false" customHeight="true" outlineLevel="0" collapsed="false">
      <c r="A15" s="13" t="s">
        <v>46</v>
      </c>
      <c r="B15" s="16" t="n">
        <v>540</v>
      </c>
      <c r="C15" s="16" t="n">
        <v>673</v>
      </c>
      <c r="D15" s="16" t="n">
        <v>820</v>
      </c>
      <c r="E15" s="17" t="n">
        <v>984</v>
      </c>
      <c r="F15" s="17" t="n">
        <v>1132</v>
      </c>
    </row>
    <row r="16" customFormat="false" ht="15" hidden="false" customHeight="true" outlineLevel="0" collapsed="false">
      <c r="A16" s="13" t="s">
        <v>47</v>
      </c>
      <c r="B16" s="14" t="n">
        <v>460</v>
      </c>
      <c r="C16" s="14" t="n">
        <v>534</v>
      </c>
      <c r="D16" s="14" t="n">
        <v>612</v>
      </c>
      <c r="E16" s="15" t="n">
        <v>686</v>
      </c>
      <c r="F16" s="15" t="n">
        <v>755</v>
      </c>
    </row>
    <row r="17" customFormat="false" ht="15" hidden="false" customHeight="true" outlineLevel="0" collapsed="false">
      <c r="A17" s="13" t="s">
        <v>48</v>
      </c>
      <c r="B17" s="16" t="n">
        <v>145</v>
      </c>
      <c r="C17" s="16" t="n">
        <v>162</v>
      </c>
      <c r="D17" s="16" t="n">
        <v>178</v>
      </c>
      <c r="E17" s="17" t="n">
        <v>192</v>
      </c>
      <c r="F17" s="17" t="n">
        <v>204</v>
      </c>
    </row>
    <row r="18" customFormat="false" ht="15" hidden="false" customHeight="true" outlineLevel="0" collapsed="false">
      <c r="A18" s="13" t="s">
        <v>49</v>
      </c>
      <c r="B18" s="14" t="n">
        <v>1145</v>
      </c>
      <c r="C18" s="14" t="n">
        <v>1369</v>
      </c>
      <c r="D18" s="14" t="n">
        <v>1610</v>
      </c>
      <c r="E18" s="15" t="n">
        <v>1862</v>
      </c>
      <c r="F18" s="15" t="n">
        <v>2091</v>
      </c>
    </row>
    <row r="19" customFormat="false" ht="15" hidden="false" customHeight="true" outlineLevel="0" collapsed="false">
      <c r="A19" s="13"/>
      <c r="B19" s="22"/>
      <c r="C19" s="22"/>
      <c r="D19" s="22"/>
      <c r="E19" s="23"/>
      <c r="F19" s="23"/>
    </row>
    <row r="20" customFormat="false" ht="15" hidden="false" customHeight="true" outlineLevel="0" collapsed="false">
      <c r="A20" s="13" t="s">
        <v>50</v>
      </c>
      <c r="B20" s="14" t="n">
        <v>315</v>
      </c>
      <c r="C20" s="14" t="n">
        <v>861</v>
      </c>
      <c r="D20" s="14" t="n">
        <v>1320</v>
      </c>
      <c r="E20" s="15" t="n">
        <v>1790</v>
      </c>
      <c r="F20" s="15" t="n">
        <v>2289</v>
      </c>
    </row>
    <row r="21" customFormat="false" ht="15" hidden="false" customHeight="true" outlineLevel="0" collapsed="false">
      <c r="A21" s="13" t="s">
        <v>51</v>
      </c>
      <c r="B21" s="18" t="n">
        <v>0.115</v>
      </c>
      <c r="C21" s="18" t="n">
        <v>0.216</v>
      </c>
      <c r="D21" s="18" t="n">
        <v>0.271</v>
      </c>
      <c r="E21" s="19" t="n">
        <v>0.304</v>
      </c>
      <c r="F21" s="19" t="n">
        <v>0.329</v>
      </c>
    </row>
    <row r="22" customFormat="false" ht="15" hidden="false" customHeight="true" outlineLevel="0" collapsed="false">
      <c r="A22" s="13"/>
      <c r="B22" s="20"/>
      <c r="C22" s="20"/>
      <c r="D22" s="20"/>
      <c r="E22" s="21"/>
      <c r="F22" s="21"/>
    </row>
    <row r="23" customFormat="false" ht="15" hidden="false" customHeight="true" outlineLevel="0" collapsed="false">
      <c r="A23" s="13" t="s">
        <v>52</v>
      </c>
      <c r="B23" s="16" t="n">
        <v>22</v>
      </c>
      <c r="C23" s="16" t="n">
        <v>41</v>
      </c>
      <c r="D23" s="16" t="n">
        <v>98</v>
      </c>
      <c r="E23" s="17" t="n">
        <v>113</v>
      </c>
      <c r="F23" s="17" t="n">
        <v>124</v>
      </c>
    </row>
    <row r="24" customFormat="false" ht="15" hidden="false" customHeight="true" outlineLevel="0" collapsed="false">
      <c r="A24" s="13" t="s">
        <v>53</v>
      </c>
      <c r="B24" s="14" t="n">
        <v>337</v>
      </c>
      <c r="C24" s="14" t="n">
        <v>902</v>
      </c>
      <c r="D24" s="14" t="n">
        <v>1418</v>
      </c>
      <c r="E24" s="15" t="n">
        <v>1903</v>
      </c>
      <c r="F24" s="15" t="n">
        <v>2413</v>
      </c>
    </row>
    <row r="25" customFormat="false" ht="15" hidden="false" customHeight="true" outlineLevel="0" collapsed="false">
      <c r="A25" s="13" t="s">
        <v>54</v>
      </c>
      <c r="B25" s="16" t="n">
        <v>61</v>
      </c>
      <c r="C25" s="16" t="n">
        <v>162</v>
      </c>
      <c r="D25" s="16" t="n">
        <v>255</v>
      </c>
      <c r="E25" s="17" t="n">
        <v>342</v>
      </c>
      <c r="F25" s="17" t="n">
        <v>434</v>
      </c>
    </row>
    <row r="26" customFormat="false" ht="15" hidden="false" customHeight="true" outlineLevel="0" collapsed="false">
      <c r="A26" s="13" t="s">
        <v>55</v>
      </c>
      <c r="B26" s="14" t="n">
        <v>276</v>
      </c>
      <c r="C26" s="14" t="n">
        <v>740</v>
      </c>
      <c r="D26" s="14" t="n">
        <v>1163</v>
      </c>
      <c r="E26" s="15" t="n">
        <v>1561</v>
      </c>
      <c r="F26" s="15" t="n">
        <v>1979</v>
      </c>
    </row>
    <row r="27" customFormat="false" ht="15" hidden="false" customHeight="true" outlineLevel="0" collapsed="false">
      <c r="A27" s="13"/>
      <c r="B27" s="22"/>
      <c r="C27" s="22"/>
      <c r="D27" s="22"/>
      <c r="E27" s="23"/>
      <c r="F27" s="23"/>
    </row>
    <row r="28" customFormat="false" ht="15" hidden="false" customHeight="true" outlineLevel="0" collapsed="false">
      <c r="A28" s="13" t="s">
        <v>56</v>
      </c>
      <c r="B28" s="14" t="n">
        <v>198</v>
      </c>
      <c r="C28" s="14" t="n">
        <v>195</v>
      </c>
      <c r="D28" s="14" t="n">
        <v>192</v>
      </c>
      <c r="E28" s="15" t="n">
        <v>190</v>
      </c>
      <c r="F28" s="15" t="n">
        <v>188</v>
      </c>
    </row>
    <row r="29" customFormat="false" ht="15" hidden="false" customHeight="true" outlineLevel="0" collapsed="false">
      <c r="A29" s="13" t="s">
        <v>57</v>
      </c>
      <c r="B29" s="24" t="n">
        <v>1.39</v>
      </c>
      <c r="C29" s="24" t="n">
        <v>3.79</v>
      </c>
      <c r="D29" s="24" t="n">
        <v>6.06</v>
      </c>
      <c r="E29" s="25" t="n">
        <v>8.22</v>
      </c>
      <c r="F29" s="25" t="n">
        <v>10.53</v>
      </c>
    </row>
    <row r="30" customFormat="false" ht="15" hidden="false" customHeight="true" outlineLevel="0" collapsed="false">
      <c r="A30" s="13"/>
      <c r="B30" s="20"/>
      <c r="C30" s="20"/>
      <c r="D30" s="20"/>
      <c r="E30" s="21"/>
      <c r="F30" s="21"/>
    </row>
    <row r="31" customFormat="false" ht="15" hidden="false" customHeight="true" outlineLevel="0" collapsed="false">
      <c r="A31" s="10" t="s">
        <v>58</v>
      </c>
      <c r="B31" s="11"/>
      <c r="C31" s="11"/>
      <c r="D31" s="11"/>
      <c r="E31" s="12"/>
      <c r="F31" s="12"/>
    </row>
    <row r="32" customFormat="false" ht="15" hidden="false" customHeight="true" outlineLevel="0" collapsed="false">
      <c r="A32" s="13" t="s">
        <v>59</v>
      </c>
      <c r="B32" s="14" t="n">
        <v>310</v>
      </c>
      <c r="C32" s="14" t="n">
        <v>631</v>
      </c>
      <c r="D32" s="14" t="n">
        <v>1080</v>
      </c>
      <c r="E32" s="15" t="n">
        <v>1566</v>
      </c>
      <c r="F32" s="15" t="n">
        <v>2060</v>
      </c>
    </row>
    <row r="33" customFormat="false" ht="15" hidden="false" customHeight="true" outlineLevel="0" collapsed="false">
      <c r="A33" s="13" t="s">
        <v>60</v>
      </c>
      <c r="B33" s="16" t="n">
        <v>380</v>
      </c>
      <c r="C33" s="16" t="n">
        <v>490</v>
      </c>
      <c r="D33" s="16" t="n">
        <v>620</v>
      </c>
      <c r="E33" s="17" t="n">
        <v>713</v>
      </c>
      <c r="F33" s="17" t="n">
        <v>799</v>
      </c>
    </row>
    <row r="34" customFormat="false" ht="15" hidden="false" customHeight="true" outlineLevel="0" collapsed="false">
      <c r="A34" s="13" t="s">
        <v>61</v>
      </c>
      <c r="B34" s="26" t="n">
        <v>0.113</v>
      </c>
      <c r="C34" s="26" t="n">
        <v>0.159</v>
      </c>
      <c r="D34" s="26" t="n">
        <v>0.222</v>
      </c>
      <c r="E34" s="27" t="n">
        <v>0.266</v>
      </c>
      <c r="F34" s="27" t="n">
        <v>0.296</v>
      </c>
    </row>
    <row r="35" customFormat="false" ht="15" hidden="false" customHeight="false" outlineLevel="0" collapsed="false">
      <c r="A35" s="13"/>
      <c r="B35" s="22"/>
      <c r="C35" s="22"/>
      <c r="D35" s="22"/>
      <c r="E35" s="23"/>
      <c r="F35" s="23"/>
    </row>
    <row r="36" customFormat="false" ht="15" hidden="false" customHeight="false" outlineLevel="0" collapsed="false">
      <c r="A36" s="10" t="s">
        <v>62</v>
      </c>
      <c r="B36" s="11"/>
      <c r="C36" s="11"/>
      <c r="D36" s="11"/>
      <c r="E36" s="12"/>
      <c r="F36" s="12"/>
    </row>
    <row r="37" customFormat="false" ht="15" hidden="false" customHeight="false" outlineLevel="0" collapsed="false">
      <c r="A37" s="13" t="s">
        <v>63</v>
      </c>
      <c r="B37" s="18"/>
      <c r="C37" s="18" t="n">
        <v>0.453</v>
      </c>
      <c r="D37" s="18" t="n">
        <v>0.224</v>
      </c>
      <c r="E37" s="19" t="n">
        <v>0.21</v>
      </c>
      <c r="F37" s="19" t="n">
        <v>0.18</v>
      </c>
    </row>
    <row r="38" customFormat="false" ht="15" hidden="false" customHeight="false" outlineLevel="0" collapsed="false">
      <c r="A38" s="13" t="s">
        <v>64</v>
      </c>
      <c r="B38" s="26" t="n">
        <v>0.101</v>
      </c>
      <c r="C38" s="26" t="n">
        <v>0.186</v>
      </c>
      <c r="D38" s="26" t="n">
        <v>0.239</v>
      </c>
      <c r="E38" s="27" t="n">
        <v>0.265</v>
      </c>
      <c r="F38" s="27" t="n">
        <v>0.285</v>
      </c>
    </row>
    <row r="39" customFormat="false" ht="15" hidden="false" customHeight="false" outlineLevel="0" collapsed="false">
      <c r="A39" s="13" t="s">
        <v>65</v>
      </c>
      <c r="B39" s="18" t="n">
        <v>1.124</v>
      </c>
      <c r="C39" s="18" t="n">
        <v>0.853</v>
      </c>
      <c r="D39" s="18" t="n">
        <v>0.929</v>
      </c>
      <c r="E39" s="19" t="n">
        <v>1.003</v>
      </c>
      <c r="F39" s="19" t="n">
        <v>1.041</v>
      </c>
    </row>
    <row r="40" customFormat="false" ht="15" hidden="false" customHeight="false" outlineLevel="0" collapsed="false">
      <c r="A40" s="13" t="s">
        <v>66</v>
      </c>
      <c r="B40" s="26" t="n">
        <v>0.197</v>
      </c>
      <c r="C40" s="26" t="n">
        <v>0.169</v>
      </c>
      <c r="D40" s="26" t="n">
        <v>0.168</v>
      </c>
      <c r="E40" s="27" t="n">
        <v>0.167</v>
      </c>
      <c r="F40" s="27" t="n">
        <v>0.163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1" width="17"/>
  </cols>
  <sheetData>
    <row r="1" customFormat="false" ht="17.25" hidden="false" customHeight="true" outlineLevel="0" collapsed="false">
      <c r="A1" s="2" t="s">
        <v>67</v>
      </c>
    </row>
    <row r="2" customFormat="false" ht="15" hidden="false" customHeight="true" outlineLevel="0" collapsed="false">
      <c r="A2" s="3" t="s">
        <v>68</v>
      </c>
    </row>
    <row r="4" customFormat="false" ht="26.25" hidden="false" customHeight="true" outlineLevel="0" collapsed="false">
      <c r="A4" s="28" t="s">
        <v>69</v>
      </c>
      <c r="B4" s="28" t="s">
        <v>70</v>
      </c>
      <c r="C4" s="28" t="s">
        <v>71</v>
      </c>
      <c r="D4" s="28" t="s">
        <v>72</v>
      </c>
      <c r="E4" s="28" t="s">
        <v>73</v>
      </c>
      <c r="F4" s="28" t="s">
        <v>74</v>
      </c>
      <c r="G4" s="28" t="s">
        <v>75</v>
      </c>
      <c r="H4" s="28" t="s">
        <v>76</v>
      </c>
      <c r="I4" s="28" t="s">
        <v>77</v>
      </c>
      <c r="J4" s="28" t="s">
        <v>78</v>
      </c>
      <c r="K4" s="28" t="s">
        <v>79</v>
      </c>
      <c r="L4" s="28" t="s">
        <v>80</v>
      </c>
      <c r="M4" s="28" t="s">
        <v>81</v>
      </c>
      <c r="N4" s="28" t="s">
        <v>82</v>
      </c>
    </row>
    <row r="5" customFormat="false" ht="15" hidden="false" customHeight="true" outlineLevel="0" collapsed="false">
      <c r="A5" s="29" t="s">
        <v>83</v>
      </c>
      <c r="B5" s="29" t="s">
        <v>84</v>
      </c>
      <c r="C5" s="29" t="n">
        <v>14.8</v>
      </c>
      <c r="D5" s="29" t="n">
        <v>4.87</v>
      </c>
      <c r="E5" s="29" t="n">
        <v>22.4</v>
      </c>
      <c r="F5" s="29" t="n">
        <v>60.2</v>
      </c>
      <c r="G5" s="29" t="n">
        <v>23</v>
      </c>
      <c r="H5" s="29" t="n">
        <v>3</v>
      </c>
      <c r="I5" s="29" t="n">
        <v>18.5</v>
      </c>
      <c r="J5" s="29" t="n">
        <v>38.1</v>
      </c>
      <c r="K5" s="29" t="n">
        <v>3.8</v>
      </c>
      <c r="L5" s="29" t="n">
        <v>2.29</v>
      </c>
      <c r="M5" s="29" t="n">
        <v>1.51</v>
      </c>
      <c r="N5" s="30" t="s">
        <v>85</v>
      </c>
    </row>
    <row r="6" customFormat="false" ht="15" hidden="false" customHeight="true" outlineLevel="0" collapsed="false">
      <c r="A6" s="31" t="s">
        <v>86</v>
      </c>
      <c r="B6" s="32" t="s">
        <v>87</v>
      </c>
      <c r="C6" s="32" t="n">
        <v>1980</v>
      </c>
      <c r="D6" s="32" t="n">
        <v>107.6</v>
      </c>
      <c r="E6" s="32" t="n">
        <v>17.1</v>
      </c>
      <c r="F6" s="32" t="n">
        <v>62.5</v>
      </c>
      <c r="G6" s="32" t="n">
        <v>30.1</v>
      </c>
      <c r="H6" s="32" t="n">
        <v>18.4</v>
      </c>
      <c r="I6" s="32" t="n">
        <v>42.3</v>
      </c>
      <c r="J6" s="32" t="n">
        <v>45.2</v>
      </c>
      <c r="K6" s="32" t="n">
        <v>2.1</v>
      </c>
      <c r="L6" s="32" t="n">
        <v>107.6</v>
      </c>
      <c r="M6" s="32" t="n">
        <v>12.4</v>
      </c>
      <c r="N6" s="33" t="s">
        <v>85</v>
      </c>
    </row>
    <row r="7" customFormat="false" ht="15" hidden="false" customHeight="true" outlineLevel="0" collapsed="false">
      <c r="A7" s="34" t="s">
        <v>88</v>
      </c>
      <c r="B7" s="35" t="s">
        <v>89</v>
      </c>
      <c r="C7" s="35" t="n">
        <v>2870</v>
      </c>
      <c r="D7" s="35" t="n">
        <v>245.1</v>
      </c>
      <c r="E7" s="35" t="n">
        <v>15.7</v>
      </c>
      <c r="F7" s="35" t="n">
        <v>69.8</v>
      </c>
      <c r="G7" s="35" t="n">
        <v>42.1</v>
      </c>
      <c r="H7" s="35" t="n">
        <v>11.7</v>
      </c>
      <c r="I7" s="35" t="n">
        <v>33.2</v>
      </c>
      <c r="J7" s="35" t="n">
        <v>36.8</v>
      </c>
      <c r="K7" s="35" t="n">
        <v>2.6</v>
      </c>
      <c r="L7" s="35" t="n">
        <v>135</v>
      </c>
      <c r="M7" s="35" t="n">
        <v>28.7</v>
      </c>
      <c r="N7" s="36" t="s">
        <v>85</v>
      </c>
    </row>
    <row r="8" customFormat="false" ht="15" hidden="false" customHeight="true" outlineLevel="0" collapsed="false">
      <c r="A8" s="31" t="s">
        <v>90</v>
      </c>
      <c r="B8" s="32" t="s">
        <v>91</v>
      </c>
      <c r="C8" s="32" t="n">
        <v>1940</v>
      </c>
      <c r="D8" s="32" t="n">
        <v>350</v>
      </c>
      <c r="E8" s="32" t="n">
        <v>13.9</v>
      </c>
      <c r="F8" s="32" t="n">
        <v>57.2</v>
      </c>
      <c r="G8" s="32" t="n">
        <v>28.4</v>
      </c>
      <c r="H8" s="32" t="n">
        <v>5.5</v>
      </c>
      <c r="I8" s="32" t="n">
        <v>22.1</v>
      </c>
      <c r="J8" s="32" t="n">
        <v>24.3</v>
      </c>
      <c r="K8" s="32" t="n">
        <v>2.2</v>
      </c>
      <c r="L8" s="32" t="n">
        <v>110.9</v>
      </c>
      <c r="M8" s="32" t="n">
        <v>15.3</v>
      </c>
      <c r="N8" s="33" t="s">
        <v>85</v>
      </c>
    </row>
    <row r="9" customFormat="false" ht="15" hidden="false" customHeight="true" outlineLevel="0" collapsed="false">
      <c r="A9" s="34" t="s">
        <v>92</v>
      </c>
      <c r="B9" s="35" t="s">
        <v>93</v>
      </c>
      <c r="C9" s="35" t="n">
        <v>11.2</v>
      </c>
      <c r="D9" s="35" t="n">
        <v>3.2</v>
      </c>
      <c r="E9" s="35" t="n">
        <v>18.5</v>
      </c>
      <c r="F9" s="35" t="n">
        <v>55.3</v>
      </c>
      <c r="G9" s="35" t="n">
        <v>15.2</v>
      </c>
      <c r="H9" s="35" t="n">
        <v>3.5</v>
      </c>
      <c r="I9" s="35" t="n">
        <v>21.4</v>
      </c>
      <c r="J9" s="35" t="n">
        <v>42</v>
      </c>
      <c r="K9" s="35" t="n">
        <v>2.9</v>
      </c>
      <c r="L9" s="35" t="n">
        <v>3.2</v>
      </c>
      <c r="M9" s="35" t="n">
        <v>0.68</v>
      </c>
      <c r="N9" s="37" t="s">
        <v>94</v>
      </c>
    </row>
    <row r="10" customFormat="false" ht="15" hidden="false" customHeight="true" outlineLevel="0" collapsed="false">
      <c r="A10" s="31" t="s">
        <v>95</v>
      </c>
      <c r="B10" s="32" t="s">
        <v>96</v>
      </c>
      <c r="C10" s="32" t="n">
        <v>8.9</v>
      </c>
      <c r="D10" s="32" t="n">
        <v>2.41</v>
      </c>
      <c r="E10" s="32" t="n">
        <v>14.2</v>
      </c>
      <c r="F10" s="32" t="n">
        <v>63.7</v>
      </c>
      <c r="G10" s="32" t="n">
        <v>18.9</v>
      </c>
      <c r="H10" s="32" t="n">
        <v>3.7</v>
      </c>
      <c r="I10" s="32" t="n">
        <v>20.8</v>
      </c>
      <c r="J10" s="32" t="n">
        <v>38.5</v>
      </c>
      <c r="K10" s="32" t="n">
        <v>3.1</v>
      </c>
      <c r="L10" s="32" t="n">
        <v>1.85</v>
      </c>
      <c r="M10" s="32" t="n">
        <v>0.92</v>
      </c>
      <c r="N10" s="38" t="s">
        <v>94</v>
      </c>
    </row>
    <row r="11" customFormat="false" ht="15" hidden="false" customHeight="true" outlineLevel="0" collapsed="false">
      <c r="A11" s="34" t="s">
        <v>97</v>
      </c>
      <c r="B11" s="35" t="s">
        <v>98</v>
      </c>
      <c r="C11" s="35" t="n">
        <v>5.2</v>
      </c>
      <c r="D11" s="35" t="n">
        <v>1.62</v>
      </c>
      <c r="E11" s="35" t="n">
        <v>9.8</v>
      </c>
      <c r="F11" s="35" t="n">
        <v>49.4</v>
      </c>
      <c r="G11" s="35" t="n">
        <v>12.1</v>
      </c>
      <c r="H11" s="35" t="n">
        <v>3.2</v>
      </c>
      <c r="I11" s="35" t="n">
        <v>16.3</v>
      </c>
      <c r="J11" s="35" t="n">
        <v>29.7</v>
      </c>
      <c r="K11" s="35" t="n">
        <v>4.2</v>
      </c>
      <c r="L11" s="35" t="n">
        <v>1.1</v>
      </c>
      <c r="M11" s="35" t="n">
        <v>0.23</v>
      </c>
      <c r="N11" s="39" t="s">
        <v>99</v>
      </c>
    </row>
    <row r="12" customFormat="false" ht="15" hidden="false" customHeight="true" outlineLevel="0" collapsed="false">
      <c r="A12" s="31" t="s">
        <v>100</v>
      </c>
      <c r="B12" s="32" t="s">
        <v>101</v>
      </c>
      <c r="C12" s="32" t="n">
        <v>22.1</v>
      </c>
      <c r="D12" s="32" t="n">
        <v>5.8</v>
      </c>
      <c r="E12" s="32" t="n">
        <v>31.2</v>
      </c>
      <c r="F12" s="32" t="n">
        <v>72.1</v>
      </c>
      <c r="G12" s="32" t="n">
        <v>21.4</v>
      </c>
      <c r="H12" s="32" t="n">
        <v>3.8</v>
      </c>
      <c r="I12" s="32" t="n">
        <v>24.7</v>
      </c>
      <c r="J12" s="32" t="n">
        <v>55.4</v>
      </c>
      <c r="K12" s="32" t="n">
        <v>1.8</v>
      </c>
      <c r="L12" s="32" t="n">
        <v>0</v>
      </c>
      <c r="M12" s="32" t="n">
        <v>4.1</v>
      </c>
      <c r="N12" s="33" t="s">
        <v>85</v>
      </c>
    </row>
    <row r="13" customFormat="false" ht="15" hidden="false" customHeight="true" outlineLevel="0" collapsed="false">
      <c r="A13" s="34" t="s">
        <v>102</v>
      </c>
      <c r="B13" s="35" t="s">
        <v>103</v>
      </c>
      <c r="C13" s="35" t="n">
        <v>6.7</v>
      </c>
      <c r="D13" s="35" t="n">
        <v>1.98</v>
      </c>
      <c r="E13" s="35" t="n">
        <v>11.3</v>
      </c>
      <c r="F13" s="35" t="n">
        <v>52.8</v>
      </c>
      <c r="G13" s="35" t="n">
        <v>14.5</v>
      </c>
      <c r="H13" s="35" t="n">
        <v>3.4</v>
      </c>
      <c r="I13" s="35" t="n">
        <v>18</v>
      </c>
      <c r="J13" s="35" t="n">
        <v>32</v>
      </c>
      <c r="K13" s="35" t="n">
        <v>3.9</v>
      </c>
      <c r="L13" s="35" t="n">
        <v>0.82</v>
      </c>
      <c r="M13" s="35" t="n">
        <v>0.41</v>
      </c>
      <c r="N13" s="37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6"/>
  </cols>
  <sheetData>
    <row r="1" customFormat="false" ht="17.25" hidden="false" customHeight="true" outlineLevel="0" collapsed="false">
      <c r="A1" s="2" t="s">
        <v>104</v>
      </c>
    </row>
    <row r="3" customFormat="false" ht="15" hidden="false" customHeight="true" outlineLevel="0" collapsed="false">
      <c r="A3" s="28" t="s">
        <v>105</v>
      </c>
      <c r="B3" s="28" t="s">
        <v>106</v>
      </c>
      <c r="C3" s="28" t="s">
        <v>107</v>
      </c>
      <c r="D3" s="28" t="s">
        <v>108</v>
      </c>
      <c r="E3" s="28" t="s">
        <v>109</v>
      </c>
      <c r="F3" s="28" t="s">
        <v>110</v>
      </c>
      <c r="G3" s="28" t="s">
        <v>111</v>
      </c>
      <c r="H3" s="28" t="s">
        <v>112</v>
      </c>
      <c r="I3" s="28" t="s">
        <v>113</v>
      </c>
      <c r="J3" s="28" t="s">
        <v>114</v>
      </c>
      <c r="K3" s="28" t="s">
        <v>115</v>
      </c>
      <c r="L3" s="28" t="s">
        <v>116</v>
      </c>
    </row>
    <row r="4" customFormat="false" ht="15" hidden="false" customHeight="true" outlineLevel="0" collapsed="false">
      <c r="A4" s="35" t="s">
        <v>117</v>
      </c>
      <c r="B4" s="5" t="n">
        <v>400</v>
      </c>
      <c r="C4" s="5" t="n">
        <v>415</v>
      </c>
      <c r="D4" s="5" t="n">
        <v>430</v>
      </c>
      <c r="E4" s="5" t="n">
        <v>525</v>
      </c>
      <c r="F4" s="5" t="n">
        <f aca="false">SUM(B4:E4)</f>
        <v>1770</v>
      </c>
      <c r="G4" s="5" t="n">
        <v>510</v>
      </c>
      <c r="H4" s="5" t="n">
        <v>540</v>
      </c>
      <c r="I4" s="5" t="n">
        <v>580</v>
      </c>
      <c r="J4" s="5" t="n">
        <v>660</v>
      </c>
      <c r="K4" s="5" t="n">
        <f aca="false">SUM(G4:J4)</f>
        <v>2290</v>
      </c>
      <c r="L4" s="40" t="n">
        <f aca="false">(K4-F4)/F4</f>
        <v>0.293785310734463</v>
      </c>
    </row>
    <row r="5" customFormat="false" ht="15" hidden="false" customHeight="true" outlineLevel="0" collapsed="false">
      <c r="A5" s="41" t="s">
        <v>118</v>
      </c>
      <c r="B5" s="42" t="n">
        <v>220</v>
      </c>
      <c r="C5" s="42" t="n">
        <v>245</v>
      </c>
      <c r="D5" s="42" t="n">
        <v>280</v>
      </c>
      <c r="E5" s="42" t="n">
        <v>345</v>
      </c>
      <c r="F5" s="42" t="n">
        <f aca="false">SUM(B5:E5)</f>
        <v>1090</v>
      </c>
      <c r="G5" s="42" t="n">
        <v>330</v>
      </c>
      <c r="H5" s="42" t="n">
        <v>355</v>
      </c>
      <c r="I5" s="42" t="n">
        <v>400</v>
      </c>
      <c r="J5" s="42" t="n">
        <v>425</v>
      </c>
      <c r="K5" s="42" t="n">
        <f aca="false">SUM(G5:J5)</f>
        <v>1510</v>
      </c>
      <c r="L5" s="43" t="n">
        <f aca="false">(K5-F5)/F5</f>
        <v>0.385321100917431</v>
      </c>
    </row>
    <row r="6" customFormat="false" ht="15" hidden="false" customHeight="true" outlineLevel="0" collapsed="false">
      <c r="A6" s="35" t="s">
        <v>119</v>
      </c>
      <c r="B6" s="5" t="n">
        <v>185</v>
      </c>
      <c r="C6" s="5" t="n">
        <v>178</v>
      </c>
      <c r="D6" s="5" t="n">
        <v>175</v>
      </c>
      <c r="E6" s="5" t="n">
        <v>167</v>
      </c>
      <c r="F6" s="5" t="n">
        <f aca="false">SUM(B6:E6)</f>
        <v>705</v>
      </c>
      <c r="G6" s="5" t="n">
        <v>175</v>
      </c>
      <c r="H6" s="5" t="n">
        <v>170</v>
      </c>
      <c r="I6" s="5" t="n">
        <v>168</v>
      </c>
      <c r="J6" s="5" t="n">
        <v>169</v>
      </c>
      <c r="K6" s="5" t="n">
        <f aca="false">SUM(G6:J6)</f>
        <v>682</v>
      </c>
      <c r="L6" s="40" t="n">
        <f aca="false">(K6-F6)/F6</f>
        <v>-0.0326241134751773</v>
      </c>
    </row>
    <row r="7" customFormat="false" ht="15" hidden="false" customHeight="true" outlineLevel="0" collapsed="false">
      <c r="A7" s="41" t="s">
        <v>120</v>
      </c>
      <c r="B7" s="42" t="n">
        <v>91</v>
      </c>
      <c r="C7" s="42" t="n">
        <v>100</v>
      </c>
      <c r="D7" s="42" t="n">
        <v>105</v>
      </c>
      <c r="E7" s="42" t="n">
        <v>119</v>
      </c>
      <c r="F7" s="42" t="n">
        <f aca="false">SUM(B7:E7)</f>
        <v>415</v>
      </c>
      <c r="G7" s="42" t="n">
        <v>88</v>
      </c>
      <c r="H7" s="42" t="n">
        <v>94</v>
      </c>
      <c r="I7" s="42" t="n">
        <v>100</v>
      </c>
      <c r="J7" s="42" t="n">
        <v>108</v>
      </c>
      <c r="K7" s="42" t="n">
        <f aca="false">SUM(G7:J7)</f>
        <v>390</v>
      </c>
      <c r="L7" s="43" t="n">
        <f aca="false">(K7-F7)/F7</f>
        <v>-0.0602409638554217</v>
      </c>
    </row>
    <row r="8" customFormat="false" ht="15" hidden="false" customHeight="true" outlineLevel="0" collapsed="false">
      <c r="A8" s="44" t="s">
        <v>38</v>
      </c>
      <c r="B8" s="44" t="n">
        <f aca="false">SUM(B4:B7)</f>
        <v>896</v>
      </c>
      <c r="C8" s="44" t="n">
        <f aca="false">SUM(C4:C7)</f>
        <v>938</v>
      </c>
      <c r="D8" s="44" t="n">
        <f aca="false">SUM(D4:D7)</f>
        <v>990</v>
      </c>
      <c r="E8" s="44" t="n">
        <f aca="false">SUM(E4:E7)</f>
        <v>1156</v>
      </c>
      <c r="F8" s="44" t="n">
        <f aca="false">SUM(B8:E8)</f>
        <v>3980</v>
      </c>
      <c r="G8" s="44" t="n">
        <f aca="false">SUM(G4:G7)</f>
        <v>1103</v>
      </c>
      <c r="H8" s="44" t="n">
        <f aca="false">SUM(H4:H7)</f>
        <v>1159</v>
      </c>
      <c r="I8" s="44" t="n">
        <f aca="false">SUM(I4:I7)</f>
        <v>1248</v>
      </c>
      <c r="J8" s="44" t="n">
        <f aca="false">SUM(J4:J7)</f>
        <v>1362</v>
      </c>
      <c r="K8" s="44" t="n">
        <f aca="false">SUM(G8:J8)</f>
        <v>4872</v>
      </c>
      <c r="L8" s="45" t="n">
        <f aca="false">(K8-F8)/F8</f>
        <v>0.224120603015075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7.25" hidden="false" customHeight="true" outlineLevel="0" collapsed="false">
      <c r="A1" s="2" t="s">
        <v>121</v>
      </c>
    </row>
    <row r="2" customFormat="false" ht="15" hidden="false" customHeight="true" outlineLevel="0" collapsed="false">
      <c r="A2" s="3" t="s">
        <v>122</v>
      </c>
    </row>
    <row r="4" customFormat="false" ht="15" hidden="false" customHeight="true" outlineLevel="0" collapsed="false">
      <c r="A4" s="46" t="s">
        <v>123</v>
      </c>
    </row>
    <row r="5" customFormat="false" ht="15" hidden="false" customHeight="true" outlineLevel="0" collapsed="false">
      <c r="A5" s="47" t="s">
        <v>124</v>
      </c>
      <c r="B5" s="48" t="n">
        <v>9.5</v>
      </c>
    </row>
    <row r="6" customFormat="false" ht="15" hidden="false" customHeight="true" outlineLevel="0" collapsed="false">
      <c r="A6" s="47" t="s">
        <v>125</v>
      </c>
      <c r="B6" s="48" t="n">
        <v>3.5</v>
      </c>
    </row>
    <row r="7" customFormat="false" ht="15" hidden="false" customHeight="true" outlineLevel="0" collapsed="false">
      <c r="A7" s="47" t="s">
        <v>126</v>
      </c>
      <c r="B7" s="48" t="n">
        <v>21</v>
      </c>
    </row>
    <row r="8" customFormat="false" ht="15" hidden="false" customHeight="true" outlineLevel="0" collapsed="false">
      <c r="A8" s="47" t="s">
        <v>127</v>
      </c>
      <c r="B8" s="48" t="n">
        <v>18</v>
      </c>
    </row>
    <row r="9" customFormat="false" ht="15" hidden="false" customHeight="true" outlineLevel="0" collapsed="false">
      <c r="A9" s="47" t="s">
        <v>128</v>
      </c>
      <c r="B9" s="48" t="n">
        <v>15</v>
      </c>
    </row>
    <row r="10" customFormat="false" ht="15" hidden="false" customHeight="true" outlineLevel="0" collapsed="false">
      <c r="A10" s="47" t="s">
        <v>129</v>
      </c>
      <c r="B10" s="48" t="n">
        <v>13</v>
      </c>
    </row>
    <row r="11" customFormat="false" ht="15" hidden="false" customHeight="true" outlineLevel="0" collapsed="false">
      <c r="A11" s="47" t="s">
        <v>130</v>
      </c>
      <c r="B11" s="48" t="n">
        <v>11</v>
      </c>
    </row>
    <row r="12" customFormat="false" ht="15" hidden="false" customHeight="true" outlineLevel="0" collapsed="false">
      <c r="A12" s="47" t="s">
        <v>131</v>
      </c>
      <c r="B12" s="48" t="n">
        <v>27</v>
      </c>
    </row>
    <row r="13" customFormat="false" ht="15" hidden="false" customHeight="true" outlineLevel="0" collapsed="false">
      <c r="A13" s="47" t="s">
        <v>132</v>
      </c>
      <c r="B13" s="48" t="n">
        <v>192</v>
      </c>
    </row>
    <row r="14" customFormat="false" ht="15" hidden="false" customHeight="true" outlineLevel="0" collapsed="false">
      <c r="A14" s="47" t="s">
        <v>133</v>
      </c>
      <c r="B14" s="48" t="n">
        <v>2100</v>
      </c>
    </row>
    <row r="17" customFormat="false" ht="15" hidden="false" customHeight="true" outlineLevel="0" collapsed="false">
      <c r="A17" s="46" t="s">
        <v>134</v>
      </c>
    </row>
    <row r="18" customFormat="false" ht="15" hidden="false" customHeight="true" outlineLevel="0" collapsed="false">
      <c r="A18" s="4" t="s">
        <v>135</v>
      </c>
      <c r="B18" s="4" t="s">
        <v>136</v>
      </c>
      <c r="C18" s="4" t="s">
        <v>137</v>
      </c>
      <c r="D18" s="4" t="s">
        <v>138</v>
      </c>
      <c r="E18" s="4" t="s">
        <v>139</v>
      </c>
      <c r="F18" s="4" t="s">
        <v>140</v>
      </c>
    </row>
    <row r="19" customFormat="false" ht="15" hidden="false" customHeight="true" outlineLevel="0" collapsed="false">
      <c r="A19" s="49" t="s">
        <v>35</v>
      </c>
      <c r="B19" s="49" t="n">
        <f aca="false">4870*(1+$B$7/100)</f>
        <v>5892.7</v>
      </c>
      <c r="C19" s="50" t="n">
        <v>0.205</v>
      </c>
      <c r="D19" s="49" t="n">
        <f aca="false">B19*C19</f>
        <v>1208.0035</v>
      </c>
      <c r="E19" s="49" t="n">
        <f aca="false">1/((1+$B$5/100)^1)</f>
        <v>0.91324200913242</v>
      </c>
      <c r="F19" s="49" t="n">
        <f aca="false">D19*E19</f>
        <v>1103.199543379</v>
      </c>
    </row>
    <row r="20" customFormat="false" ht="15" hidden="false" customHeight="true" outlineLevel="0" collapsed="false">
      <c r="A20" s="49" t="s">
        <v>36</v>
      </c>
      <c r="B20" s="49" t="n">
        <f aca="false">B19*(1+$B$8/100)</f>
        <v>6953.386</v>
      </c>
      <c r="C20" s="50" t="n">
        <v>0.22</v>
      </c>
      <c r="D20" s="49" t="n">
        <f aca="false">B20*C20</f>
        <v>1529.74492</v>
      </c>
      <c r="E20" s="49" t="n">
        <f aca="false">1/((1+$B$5/100)^2)</f>
        <v>0.834010967244219</v>
      </c>
      <c r="F20" s="49" t="n">
        <f aca="false">D20*E20</f>
        <v>1275.82404036613</v>
      </c>
    </row>
    <row r="21" customFormat="false" ht="15" hidden="false" customHeight="true" outlineLevel="0" collapsed="false">
      <c r="A21" s="49" t="s">
        <v>141</v>
      </c>
      <c r="B21" s="49" t="n">
        <f aca="false">B20*(1+$B$9/100)</f>
        <v>7996.3939</v>
      </c>
      <c r="C21" s="50" t="n">
        <v>0.24</v>
      </c>
      <c r="D21" s="49" t="n">
        <f aca="false">B21*C21</f>
        <v>1919.134536</v>
      </c>
      <c r="E21" s="49" t="n">
        <f aca="false">1/((1+$B$5/100)^3)</f>
        <v>0.761653851364584</v>
      </c>
      <c r="F21" s="49" t="n">
        <f aca="false">D21*E21</f>
        <v>1461.71621063118</v>
      </c>
    </row>
    <row r="22" customFormat="false" ht="15" hidden="false" customHeight="true" outlineLevel="0" collapsed="false">
      <c r="A22" s="49" t="s">
        <v>142</v>
      </c>
      <c r="B22" s="49" t="n">
        <f aca="false">B21*(1+$B$10/100)</f>
        <v>9035.925107</v>
      </c>
      <c r="C22" s="50" t="n">
        <v>0.255</v>
      </c>
      <c r="D22" s="49" t="n">
        <f aca="false">B22*C22</f>
        <v>2304.160902285</v>
      </c>
      <c r="E22" s="49" t="n">
        <f aca="false">1/((1+$B$5/100)^4)</f>
        <v>0.695574293483638</v>
      </c>
      <c r="F22" s="49" t="n">
        <f aca="false">D22*E22</f>
        <v>1602.71509167951</v>
      </c>
    </row>
    <row r="23" customFormat="false" ht="15" hidden="false" customHeight="true" outlineLevel="0" collapsed="false">
      <c r="A23" s="49" t="s">
        <v>143</v>
      </c>
      <c r="B23" s="49" t="n">
        <f aca="false">B22*(1+$B$11/100)</f>
        <v>10029.87686877</v>
      </c>
      <c r="C23" s="50" t="n">
        <v>0.27</v>
      </c>
      <c r="D23" s="49" t="n">
        <f aca="false">B23*C23</f>
        <v>2708.0667545679</v>
      </c>
      <c r="E23" s="49" t="n">
        <f aca="false">1/((1+$B$5/100)^5)</f>
        <v>0.635227665281862</v>
      </c>
      <c r="F23" s="49" t="n">
        <f aca="false">D23*E23</f>
        <v>1720.23892193159</v>
      </c>
    </row>
    <row r="25" customFormat="false" ht="15" hidden="false" customHeight="true" outlineLevel="0" collapsed="false">
      <c r="A25" s="46" t="s">
        <v>144</v>
      </c>
    </row>
    <row r="26" customFormat="false" ht="15" hidden="false" customHeight="true" outlineLevel="0" collapsed="false">
      <c r="A26" s="47" t="s">
        <v>145</v>
      </c>
      <c r="B26" s="47" t="n">
        <f aca="false">SUM(F19:F23)</f>
        <v>7163.69380798742</v>
      </c>
    </row>
    <row r="27" customFormat="false" ht="15" hidden="false" customHeight="true" outlineLevel="0" collapsed="false">
      <c r="A27" s="47" t="s">
        <v>146</v>
      </c>
      <c r="B27" s="47" t="n">
        <f aca="false">D23*(1+$B$6/100)/($B$5/100-$B$6/100)</f>
        <v>46714.1515162963</v>
      </c>
    </row>
    <row r="28" customFormat="false" ht="15" hidden="false" customHeight="true" outlineLevel="0" collapsed="false">
      <c r="A28" s="47" t="s">
        <v>147</v>
      </c>
      <c r="B28" s="47" t="n">
        <f aca="false">B27/((1+$B$5/100)^5)</f>
        <v>29674.12140332</v>
      </c>
    </row>
    <row r="29" customFormat="false" ht="15" hidden="false" customHeight="true" outlineLevel="0" collapsed="false">
      <c r="A29" s="47" t="s">
        <v>148</v>
      </c>
      <c r="B29" s="47" t="n">
        <f aca="false">B26+B28</f>
        <v>36837.8152113074</v>
      </c>
    </row>
    <row r="30" customFormat="false" ht="15" hidden="false" customHeight="true" outlineLevel="0" collapsed="false">
      <c r="A30" s="47" t="s">
        <v>149</v>
      </c>
      <c r="B30" s="47" t="n">
        <f aca="false">$B$14*1</f>
        <v>2100</v>
      </c>
    </row>
    <row r="31" customFormat="false" ht="15" hidden="false" customHeight="true" outlineLevel="0" collapsed="false">
      <c r="A31" s="47" t="s">
        <v>150</v>
      </c>
      <c r="B31" s="47" t="n">
        <f aca="false">B29+B30</f>
        <v>38937.8152113074</v>
      </c>
    </row>
    <row r="32" customFormat="false" ht="15" hidden="false" customHeight="true" outlineLevel="0" collapsed="false">
      <c r="A32" s="47" t="s">
        <v>132</v>
      </c>
      <c r="B32" s="47" t="n">
        <f aca="false">$B$13</f>
        <v>192</v>
      </c>
    </row>
    <row r="33" customFormat="false" ht="15" hidden="false" customHeight="true" outlineLevel="0" collapsed="false">
      <c r="A33" s="47" t="s">
        <v>151</v>
      </c>
      <c r="B33" s="51" t="n">
        <f aca="false">B31/B32</f>
        <v>202.801120892226</v>
      </c>
    </row>
    <row r="34" customFormat="false" ht="15" hidden="false" customHeight="true" outlineLevel="0" collapsed="false">
      <c r="A34" s="47" t="s">
        <v>152</v>
      </c>
      <c r="B34" s="47" t="n">
        <v>101.8</v>
      </c>
    </row>
    <row r="35" customFormat="false" ht="15" hidden="false" customHeight="true" outlineLevel="0" collapsed="false">
      <c r="A35" s="47" t="s">
        <v>153</v>
      </c>
      <c r="B35" s="52" t="n">
        <f aca="false">(B33-B34)/B34</f>
        <v>0.992152464560178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2026-06-28T23:11:18Z</dcterms:created>
  <dc:creator>openpyxl</dc:creator>
  <dc:description/>
  <dc:language>en-US</dc:language>
  <cp:lastModifiedBy/>
  <dcterms:modified xsi:type="dcterms:W3CDTF">2026-06-28T23:12:35Z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